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统计" sheetId="1" state="visible" r:id="rId1"/>
    <sheet name="分析图表" sheetId="2" state="visible" r:id="rId2"/>
    <sheet name="2026统计" sheetId="3" state="visible" r:id="rId3"/>
    <sheet name="输入文件对账" sheetId="4" state="visible" r:id="rId4"/>
    <sheet name="售后明细" sheetId="5" state="visible" r:id="rId5"/>
    <sheet name="待人工确认" sheetId="6" state="visible" r:id="rId6"/>
  </sheets>
  <definedNames>
    <definedName name="_xlnm._FilterDatabase" localSheetId="3" hidden="1">'输入文件对账'!$A$1:$W$2</definedName>
    <definedName name="_xlnm._FilterDatabase" localSheetId="5" hidden="1">'待人工确认'!$A$1:$R$1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0"/>
    </font>
    <font>
      <name val="宋体"/>
      <b val="1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76B4D"/>
      <sz val="16"/>
    </font>
    <font>
      <name val="微软雅黑"/>
      <b val="1"/>
      <color rgb="00174A36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76B4D"/>
      </patternFill>
    </fill>
    <fill>
      <patternFill patternType="solid">
        <fgColor rgb="00334E68"/>
      </patternFill>
    </fill>
    <fill>
      <patternFill patternType="solid">
        <fgColor rgb="00DCEFE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D7E2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5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4" fontId="5" fillId="0" borderId="2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月度售后案件数量趋势</a:t>
            </a:r>
          </a:p>
        </rich>
      </tx>
    </title>
    <plotArea>
      <lineChart>
        <grouping val="standard"/>
        <ser>
          <idx val="0"/>
          <order val="0"/>
          <tx>
            <strRef>
              <f>'分析图表'!B4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'分析图表'!$A$5</f>
            </numRef>
          </cat>
          <val>
            <numRef>
              <f>'分析图表'!$B$5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提出质量问题/报修月份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案件数（件）</a:t>
                </a:r>
              </a:p>
            </rich>
          </tx>
        </title>
        <numFmt formatCode="0" sourceLinked="0"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售后问题类型分布（多标签）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'分析图表'!B8</f>
            </strRef>
          </tx>
          <spPr>
            <a:ln>
              <a:prstDash val="solid"/>
            </a:ln>
          </spPr>
          <cat>
            <numRef>
              <f>'分析图表'!$A$9:$A$12</f>
            </numRef>
          </cat>
          <val>
            <numRef>
              <f>'分析图表'!$B$9:$B$12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问题类型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标签数量（条）</a:t>
                </a:r>
              </a:p>
            </rich>
          </tx>
        </title>
        <numFmt formatCode="0" sourceLinked="0"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企业售后成本趋势</a:t>
            </a:r>
          </a:p>
        </rich>
      </tx>
    </title>
    <plotArea>
      <lineChart>
        <grouping val="standard"/>
        <ser>
          <idx val="0"/>
          <order val="0"/>
          <tx>
            <strRef>
              <f>'分析图表'!C4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'分析图表'!$A$5</f>
            </numRef>
          </cat>
          <val>
            <numRef>
              <f>'分析图表'!$C$5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提出质量问题/报修月份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企业售后成本（元）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0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33</row>
      <rowOff>0</rowOff>
    </from>
    <ext cx="50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1" customWidth="1" min="4" max="4"/>
    <col width="11" customWidth="1" min="5" max="5"/>
  </cols>
  <sheetData>
    <row r="1" ht="28" customHeight="1">
      <c r="A1" s="1" t="inlineStr">
        <is>
          <t>全部输入文件售后统计表（按报修年份和月份排序）</t>
        </is>
      </c>
      <c r="B1" s="2" t="n"/>
      <c r="C1" s="2" t="n"/>
      <c r="D1" s="2" t="n"/>
      <c r="E1" s="2" t="n"/>
    </row>
    <row r="2">
      <c r="A2" s="3" t="inlineStr">
        <is>
          <t>序号</t>
        </is>
      </c>
      <c r="B2" s="3" t="inlineStr">
        <is>
          <t>品牌</t>
        </is>
      </c>
      <c r="C2" s="3" t="inlineStr">
        <is>
          <t>类型</t>
        </is>
      </c>
      <c r="D2" s="3" t="inlineStr">
        <is>
          <t>2026年</t>
        </is>
      </c>
      <c r="E2" s="3" t="inlineStr">
        <is>
          <t>合计</t>
        </is>
      </c>
    </row>
    <row r="3">
      <c r="A3" s="3" t="n"/>
      <c r="B3" s="3" t="n"/>
      <c r="C3" s="3" t="n"/>
      <c r="D3" s="3" t="inlineStr">
        <is>
          <t>5月</t>
        </is>
      </c>
      <c r="E3" s="3" t="n"/>
    </row>
    <row r="4">
      <c r="A4" s="2" t="n">
        <v>1</v>
      </c>
      <c r="B4" s="2" t="inlineStr">
        <is>
          <t>桃花江</t>
        </is>
      </c>
      <c r="C4" s="2" t="inlineStr">
        <is>
          <t>性能</t>
        </is>
      </c>
      <c r="D4" s="2" t="n">
        <v>1</v>
      </c>
      <c r="E4" s="2">
        <f>SUM(D4:D4)</f>
        <v/>
      </c>
    </row>
    <row r="5">
      <c r="A5" s="2" t="n">
        <v>2</v>
      </c>
      <c r="B5" s="2" t="n"/>
      <c r="C5" s="2" t="inlineStr">
        <is>
          <t>外观</t>
        </is>
      </c>
      <c r="D5" s="2" t="n">
        <v>0</v>
      </c>
      <c r="E5" s="2">
        <f>SUM(D5:D5)</f>
        <v/>
      </c>
    </row>
    <row r="6">
      <c r="A6" s="2" t="n">
        <v>3</v>
      </c>
      <c r="B6" s="2" t="n"/>
      <c r="C6" s="2" t="inlineStr">
        <is>
          <t>加工</t>
        </is>
      </c>
      <c r="D6" s="2" t="n">
        <v>1</v>
      </c>
      <c r="E6" s="2">
        <f>SUM(D6:D6)</f>
        <v/>
      </c>
    </row>
    <row r="7">
      <c r="A7" s="4" t="n">
        <v>4</v>
      </c>
      <c r="B7" s="2" t="n"/>
      <c r="C7" s="4" t="inlineStr">
        <is>
          <t>企业售后成本</t>
        </is>
      </c>
      <c r="D7" s="5" t="n">
        <v>1000</v>
      </c>
      <c r="E7" s="5">
        <f>SUM(D7:D7)</f>
        <v/>
      </c>
    </row>
    <row r="8">
      <c r="A8" s="4" t="n">
        <v>5</v>
      </c>
      <c r="B8" s="2" t="n"/>
      <c r="C8" s="4" t="inlineStr">
        <is>
          <t>内部责任扣款</t>
        </is>
      </c>
      <c r="D8" s="5" t="n">
        <v>200</v>
      </c>
      <c r="E8" s="5">
        <f>SUM(D8:D8)</f>
        <v/>
      </c>
    </row>
    <row r="9">
      <c r="A9" s="4" t="n">
        <v>6</v>
      </c>
      <c r="B9" s="2" t="n"/>
      <c r="C9" s="4" t="inlineStr">
        <is>
          <t>外部承担金额</t>
        </is>
      </c>
      <c r="D9" s="5" t="n">
        <v>300</v>
      </c>
      <c r="E9" s="5">
        <f>SUM(D9:D9)</f>
        <v/>
      </c>
    </row>
    <row r="10">
      <c r="A10" s="3" t="n"/>
      <c r="B10" s="3" t="inlineStr">
        <is>
          <t>分类标签合计</t>
        </is>
      </c>
      <c r="C10" s="3" t="n"/>
      <c r="D10" s="3">
        <f>SUM(D4,D5,D6)</f>
        <v/>
      </c>
      <c r="E10" s="3">
        <f>SUM(D10:D10)</f>
        <v/>
      </c>
    </row>
    <row r="11">
      <c r="A11" s="3" t="n"/>
      <c r="B11" s="3" t="inlineStr">
        <is>
          <t>企业售后成本</t>
        </is>
      </c>
      <c r="C11" s="3" t="n"/>
      <c r="D11" s="6">
        <f>SUM(D7)</f>
        <v/>
      </c>
      <c r="E11" s="6">
        <f>SUM(D11:D11)</f>
        <v/>
      </c>
    </row>
    <row r="12">
      <c r="A12" s="3" t="n"/>
      <c r="B12" s="3" t="inlineStr">
        <is>
          <t>内部责任扣款</t>
        </is>
      </c>
      <c r="C12" s="3" t="n"/>
      <c r="D12" s="6">
        <f>SUM(D8)</f>
        <v/>
      </c>
      <c r="E12" s="6">
        <f>SUM(D12:D12)</f>
        <v/>
      </c>
    </row>
    <row r="13">
      <c r="A13" s="3" t="n"/>
      <c r="B13" s="3" t="inlineStr">
        <is>
          <t>外部承担金额</t>
        </is>
      </c>
      <c r="C13" s="3" t="n"/>
      <c r="D13" s="6">
        <f>SUM(D9)</f>
        <v/>
      </c>
      <c r="E13" s="6">
        <f>SUM(D13:D13)</f>
        <v/>
      </c>
    </row>
    <row r="14">
      <c r="A14" s="3" t="n"/>
      <c r="B14" s="3" t="inlineStr">
        <is>
          <t>案件总数（每案计1次）</t>
        </is>
      </c>
      <c r="C14" s="3" t="n"/>
      <c r="D14" s="3" t="n">
        <v>1</v>
      </c>
      <c r="E14" s="3">
        <f>SUM(D14:D14)</f>
        <v/>
      </c>
    </row>
    <row r="15">
      <c r="A15" s="3" t="n"/>
      <c r="B15" s="3" t="inlineStr">
        <is>
          <t>关闭数</t>
        </is>
      </c>
      <c r="C15" s="3" t="n"/>
      <c r="D15" s="3" t="n">
        <v>1</v>
      </c>
      <c r="E15" s="3">
        <f>SUM(D15:D15)</f>
        <v/>
      </c>
    </row>
    <row r="16">
      <c r="A16" s="3" t="n"/>
      <c r="B16" s="3" t="inlineStr">
        <is>
          <t>处理中数量</t>
        </is>
      </c>
      <c r="C16" s="3" t="n"/>
      <c r="D16" s="3" t="n">
        <v>0</v>
      </c>
      <c r="E16" s="3">
        <f>SUM(D16:D16)</f>
        <v/>
      </c>
    </row>
    <row r="17">
      <c r="A17" s="3" t="n"/>
      <c r="B17" s="3" t="inlineStr">
        <is>
          <t>未解决数量</t>
        </is>
      </c>
      <c r="C17" s="3" t="n"/>
      <c r="D17" s="3" t="n">
        <v>0</v>
      </c>
      <c r="E17" s="3">
        <f>SUM(D17:D17)</f>
        <v/>
      </c>
    </row>
    <row r="18">
      <c r="A18" s="2" t="inlineStr">
        <is>
          <t>备注：</t>
        </is>
      </c>
      <c r="B18" s="2" t="n"/>
      <c r="C18" s="2" t="n"/>
      <c r="D18" s="2" t="n"/>
      <c r="E18" s="2" t="n"/>
    </row>
    <row r="19">
      <c r="A19" s="2" t="inlineStr">
        <is>
          <t>1、各列先按年份、再按月份排列；年份未注明的数据单独列示，不与已知年份同月相加。</t>
        </is>
      </c>
      <c r="B19" s="2" t="n"/>
      <c r="C19" s="2" t="n"/>
      <c r="D19" s="2" t="n"/>
      <c r="E19" s="2" t="n"/>
    </row>
    <row r="20">
      <c r="A20" s="2" t="inlineStr">
        <is>
          <t>2、问题分类为多标签统计，同一案件可进入多个分类；分类标签合计不能作为案件总数。</t>
        </is>
      </c>
      <c r="B20" s="2" t="n"/>
      <c r="C20" s="2" t="n"/>
      <c r="D20" s="2" t="n"/>
      <c r="E20" s="2" t="n"/>
    </row>
    <row r="21">
      <c r="A21" s="2" t="inlineStr">
        <is>
          <t>3、企业售后成本、内部责任扣款和外部承担金额分别统计，后两者不计入企业售后成本。</t>
        </is>
      </c>
      <c r="B21" s="2" t="n"/>
      <c r="C21" s="2" t="n"/>
      <c r="D21" s="2" t="n"/>
      <c r="E21" s="2" t="n"/>
    </row>
    <row r="22">
      <c r="A22" s="2" t="inlineStr">
        <is>
          <t>4、未知企业售后成本不计入金额合计；本页共有 0 条企业成本为空或待确认。</t>
        </is>
      </c>
      <c r="B22" s="2" t="n"/>
      <c r="C22" s="2" t="n"/>
      <c r="D22" s="2" t="n"/>
      <c r="E22" s="2" t="n"/>
    </row>
  </sheetData>
  <mergeCells count="11">
    <mergeCell ref="A21:E21"/>
    <mergeCell ref="B4:B9"/>
    <mergeCell ref="A20:E20"/>
    <mergeCell ref="A19:E19"/>
    <mergeCell ref="A1:E1"/>
    <mergeCell ref="B2:B3"/>
    <mergeCell ref="D2"/>
    <mergeCell ref="A2:A3"/>
    <mergeCell ref="C2:C3"/>
    <mergeCell ref="A22:E22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售后趋势与结构分析</t>
        </is>
      </c>
    </row>
    <row r="2">
      <c r="A2" s="8" t="inlineStr">
        <is>
          <t>分类采用多标签统计；企业售后成本、内部责任扣款和外部承担金额分别计算。</t>
        </is>
      </c>
    </row>
    <row r="4">
      <c r="A4" s="9" t="inlineStr">
        <is>
          <t>报修月份</t>
        </is>
      </c>
      <c r="B4" s="9" t="inlineStr">
        <is>
          <t>案件数</t>
        </is>
      </c>
      <c r="C4" s="9" t="inlineStr">
        <is>
          <t>企业售后成本（元）</t>
        </is>
      </c>
      <c r="D4" s="9" t="inlineStr">
        <is>
          <t>内部责任扣款（元）</t>
        </is>
      </c>
      <c r="E4" s="9" t="inlineStr">
        <is>
          <t>外部承担金额（元）</t>
        </is>
      </c>
    </row>
    <row r="5">
      <c r="A5" t="inlineStr">
        <is>
          <t>2026年5月</t>
        </is>
      </c>
      <c r="B5" t="n">
        <v>1</v>
      </c>
      <c r="C5" s="10" t="n">
        <v>1000</v>
      </c>
      <c r="D5" s="10" t="n">
        <v>200</v>
      </c>
      <c r="E5" s="10" t="n">
        <v>300</v>
      </c>
    </row>
    <row r="8">
      <c r="A8" s="9" t="inlineStr">
        <is>
          <t>问题类型</t>
        </is>
      </c>
      <c r="B8" s="9" t="inlineStr">
        <is>
          <t>标签数量</t>
        </is>
      </c>
      <c r="C8" s="9" t="n"/>
      <c r="D8" s="9" t="n"/>
      <c r="E8" s="9" t="n"/>
    </row>
    <row r="9">
      <c r="A9" t="inlineStr">
        <is>
          <t>性能</t>
        </is>
      </c>
      <c r="B9" t="n">
        <v>1</v>
      </c>
    </row>
    <row r="10">
      <c r="A10" t="inlineStr">
        <is>
          <t>外观</t>
        </is>
      </c>
      <c r="B10" t="n">
        <v>0</v>
      </c>
    </row>
    <row r="11">
      <c r="A11" t="inlineStr">
        <is>
          <t>加工</t>
        </is>
      </c>
      <c r="B11" t="n">
        <v>1</v>
      </c>
    </row>
    <row r="12">
      <c r="A12" t="inlineStr">
        <is>
          <t>其他</t>
        </is>
      </c>
      <c r="B12" t="n">
        <v>0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2026年售后统计表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序号</t>
        </is>
      </c>
      <c r="B2" s="3" t="inlineStr">
        <is>
          <t>品牌</t>
        </is>
      </c>
      <c r="C2" s="3" t="inlineStr">
        <is>
          <t>类型</t>
        </is>
      </c>
      <c r="D2" s="3" t="inlineStr">
        <is>
          <t>月份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inlineStr">
        <is>
          <t>合计</t>
        </is>
      </c>
    </row>
    <row r="3">
      <c r="A3" s="3" t="n"/>
      <c r="B3" s="3" t="n"/>
      <c r="C3" s="3" t="n"/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/>
    </row>
    <row r="4">
      <c r="A4" s="2" t="n">
        <v>1</v>
      </c>
      <c r="B4" s="2" t="inlineStr">
        <is>
          <t>桃花江</t>
        </is>
      </c>
      <c r="C4" s="2" t="inlineStr">
        <is>
          <t>性能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>
        <f>SUM(D4:O4)</f>
        <v/>
      </c>
    </row>
    <row r="5">
      <c r="A5" s="2" t="n">
        <v>2</v>
      </c>
      <c r="B5" s="2" t="n"/>
      <c r="C5" s="2" t="inlineStr">
        <is>
          <t>外观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>
        <f>SUM(D5:O5)</f>
        <v/>
      </c>
    </row>
    <row r="6">
      <c r="A6" s="2" t="n">
        <v>3</v>
      </c>
      <c r="B6" s="2" t="n"/>
      <c r="C6" s="2" t="inlineStr">
        <is>
          <t>加工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>
        <f>SUM(D6:O6)</f>
        <v/>
      </c>
    </row>
    <row r="7">
      <c r="A7" s="4" t="n">
        <v>4</v>
      </c>
      <c r="B7" s="2" t="n"/>
      <c r="C7" s="4" t="inlineStr">
        <is>
          <t>企业售后成本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1000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>
        <f>SUM(D7:O7)</f>
        <v/>
      </c>
    </row>
    <row r="8">
      <c r="A8" s="4" t="n">
        <v>5</v>
      </c>
      <c r="B8" s="2" t="n"/>
      <c r="C8" s="4" t="inlineStr">
        <is>
          <t>内部责任扣款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200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>
        <f>SUM(D8:O8)</f>
        <v/>
      </c>
    </row>
    <row r="9">
      <c r="A9" s="4" t="n">
        <v>6</v>
      </c>
      <c r="B9" s="2" t="n"/>
      <c r="C9" s="4" t="inlineStr">
        <is>
          <t>外部承担金额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300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>
        <f>SUM(D9:O9)</f>
        <v/>
      </c>
    </row>
    <row r="10">
      <c r="A10" s="3" t="n"/>
      <c r="B10" s="3" t="inlineStr">
        <is>
          <t>分类标签合计</t>
        </is>
      </c>
      <c r="C10" s="3" t="n"/>
      <c r="D10" s="3">
        <f>SUM(D4,D5,D6)</f>
        <v/>
      </c>
      <c r="E10" s="3">
        <f>SUM(E4,E5,E6)</f>
        <v/>
      </c>
      <c r="F10" s="3">
        <f>SUM(F4,F5,F6)</f>
        <v/>
      </c>
      <c r="G10" s="3">
        <f>SUM(G4,G5,G6)</f>
        <v/>
      </c>
      <c r="H10" s="3">
        <f>SUM(H4,H5,H6)</f>
        <v/>
      </c>
      <c r="I10" s="3">
        <f>SUM(I4,I5,I6)</f>
        <v/>
      </c>
      <c r="J10" s="3">
        <f>SUM(J4,J5,J6)</f>
        <v/>
      </c>
      <c r="K10" s="3">
        <f>SUM(K4,K5,K6)</f>
        <v/>
      </c>
      <c r="L10" s="3">
        <f>SUM(L4,L5,L6)</f>
        <v/>
      </c>
      <c r="M10" s="3">
        <f>SUM(M4,M5,M6)</f>
        <v/>
      </c>
      <c r="N10" s="3">
        <f>SUM(N4,N5,N6)</f>
        <v/>
      </c>
      <c r="O10" s="3">
        <f>SUM(O4,O5,O6)</f>
        <v/>
      </c>
      <c r="P10" s="3">
        <f>SUM(D10:O10)</f>
        <v/>
      </c>
    </row>
    <row r="11">
      <c r="A11" s="3" t="n"/>
      <c r="B11" s="3" t="inlineStr">
        <is>
          <t>企业售后成本</t>
        </is>
      </c>
      <c r="C11" s="3" t="n"/>
      <c r="D11" s="6">
        <f>SUM(D7)</f>
        <v/>
      </c>
      <c r="E11" s="6">
        <f>SUM(E7)</f>
        <v/>
      </c>
      <c r="F11" s="6">
        <f>SUM(F7)</f>
        <v/>
      </c>
      <c r="G11" s="6">
        <f>SUM(G7)</f>
        <v/>
      </c>
      <c r="H11" s="6">
        <f>SUM(H7)</f>
        <v/>
      </c>
      <c r="I11" s="6">
        <f>SUM(I7)</f>
        <v/>
      </c>
      <c r="J11" s="6">
        <f>SUM(J7)</f>
        <v/>
      </c>
      <c r="K11" s="6">
        <f>SUM(K7)</f>
        <v/>
      </c>
      <c r="L11" s="6">
        <f>SUM(L7)</f>
        <v/>
      </c>
      <c r="M11" s="6">
        <f>SUM(M7)</f>
        <v/>
      </c>
      <c r="N11" s="6">
        <f>SUM(N7)</f>
        <v/>
      </c>
      <c r="O11" s="6">
        <f>SUM(O7)</f>
        <v/>
      </c>
      <c r="P11" s="6">
        <f>SUM(D11:O11)</f>
        <v/>
      </c>
    </row>
    <row r="12">
      <c r="A12" s="3" t="n"/>
      <c r="B12" s="3" t="inlineStr">
        <is>
          <t>内部责任扣款</t>
        </is>
      </c>
      <c r="C12" s="3" t="n"/>
      <c r="D12" s="6">
        <f>SUM(D8)</f>
        <v/>
      </c>
      <c r="E12" s="6">
        <f>SUM(E8)</f>
        <v/>
      </c>
      <c r="F12" s="6">
        <f>SUM(F8)</f>
        <v/>
      </c>
      <c r="G12" s="6">
        <f>SUM(G8)</f>
        <v/>
      </c>
      <c r="H12" s="6">
        <f>SUM(H8)</f>
        <v/>
      </c>
      <c r="I12" s="6">
        <f>SUM(I8)</f>
        <v/>
      </c>
      <c r="J12" s="6">
        <f>SUM(J8)</f>
        <v/>
      </c>
      <c r="K12" s="6">
        <f>SUM(K8)</f>
        <v/>
      </c>
      <c r="L12" s="6">
        <f>SUM(L8)</f>
        <v/>
      </c>
      <c r="M12" s="6">
        <f>SUM(M8)</f>
        <v/>
      </c>
      <c r="N12" s="6">
        <f>SUM(N8)</f>
        <v/>
      </c>
      <c r="O12" s="6">
        <f>SUM(O8)</f>
        <v/>
      </c>
      <c r="P12" s="6">
        <f>SUM(D12:O12)</f>
        <v/>
      </c>
    </row>
    <row r="13">
      <c r="A13" s="3" t="n"/>
      <c r="B13" s="3" t="inlineStr">
        <is>
          <t>外部承担金额</t>
        </is>
      </c>
      <c r="C13" s="3" t="n"/>
      <c r="D13" s="6">
        <f>SUM(D9)</f>
        <v/>
      </c>
      <c r="E13" s="6">
        <f>SUM(E9)</f>
        <v/>
      </c>
      <c r="F13" s="6">
        <f>SUM(F9)</f>
        <v/>
      </c>
      <c r="G13" s="6">
        <f>SUM(G9)</f>
        <v/>
      </c>
      <c r="H13" s="6">
        <f>SUM(H9)</f>
        <v/>
      </c>
      <c r="I13" s="6">
        <f>SUM(I9)</f>
        <v/>
      </c>
      <c r="J13" s="6">
        <f>SUM(J9)</f>
        <v/>
      </c>
      <c r="K13" s="6">
        <f>SUM(K9)</f>
        <v/>
      </c>
      <c r="L13" s="6">
        <f>SUM(L9)</f>
        <v/>
      </c>
      <c r="M13" s="6">
        <f>SUM(M9)</f>
        <v/>
      </c>
      <c r="N13" s="6">
        <f>SUM(N9)</f>
        <v/>
      </c>
      <c r="O13" s="6">
        <f>SUM(O9)</f>
        <v/>
      </c>
      <c r="P13" s="6">
        <f>SUM(D13:O13)</f>
        <v/>
      </c>
    </row>
    <row r="14">
      <c r="A14" s="3" t="n"/>
      <c r="B14" s="3" t="inlineStr">
        <is>
          <t>案件总数（每案计1次）</t>
        </is>
      </c>
      <c r="C14" s="3" t="n"/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>
        <f>SUM(D14:O14)</f>
        <v/>
      </c>
    </row>
    <row r="15">
      <c r="A15" s="3" t="n"/>
      <c r="B15" s="3" t="inlineStr">
        <is>
          <t>关闭数</t>
        </is>
      </c>
      <c r="C15" s="3" t="n"/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>
        <f>SUM(D15:O15)</f>
        <v/>
      </c>
    </row>
    <row r="16">
      <c r="A16" s="3" t="n"/>
      <c r="B16" s="3" t="inlineStr">
        <is>
          <t>处理中数量</t>
        </is>
      </c>
      <c r="C16" s="3" t="n"/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>
        <f>SUM(D16:O16)</f>
        <v/>
      </c>
    </row>
    <row r="17">
      <c r="A17" s="3" t="n"/>
      <c r="B17" s="3" t="inlineStr">
        <is>
          <t>未解决数量</t>
        </is>
      </c>
      <c r="C17" s="3" t="n"/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>
        <f>SUM(D17:O17)</f>
        <v/>
      </c>
    </row>
    <row r="18">
      <c r="A18" s="2" t="inlineStr">
        <is>
          <t>备注：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1、问题分类为多标签统计，同一案件可进入多个分类，分类数量不能相加作为案件总数。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inlineStr">
        <is>
          <t>2、企业售后成本、内部责任扣款和外部承担金额分别统计，后两者不计入企业售后成本。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3、未知企业售后成本不计入金额合计；本页共有 0 条企业成本为空或待确认。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</sheetData>
  <mergeCells count="10">
    <mergeCell ref="B4:B9"/>
    <mergeCell ref="D2:O2"/>
    <mergeCell ref="A1:P1"/>
    <mergeCell ref="A21:P21"/>
    <mergeCell ref="B2:B3"/>
    <mergeCell ref="A2:A3"/>
    <mergeCell ref="A20:P20"/>
    <mergeCell ref="C2:C3"/>
    <mergeCell ref="P2:P3"/>
    <mergeCell ref="A19:P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28" customWidth="1" min="4" max="4"/>
    <col width="11" customWidth="1" min="5" max="5"/>
    <col width="12" customWidth="1" min="6" max="6"/>
    <col width="24" customWidth="1" min="7" max="7"/>
    <col width="16" customWidth="1" min="8" max="8"/>
    <col width="9" customWidth="1" min="9" max="9"/>
    <col width="8" customWidth="1" min="10" max="10"/>
    <col width="11" customWidth="1" min="11" max="11"/>
    <col width="42" customWidth="1" min="12" max="12"/>
    <col width="15" customWidth="1" min="13" max="13"/>
    <col width="18" customWidth="1" min="14" max="14"/>
    <col width="36" customWidth="1" min="15" max="15"/>
    <col width="15" customWidth="1" min="16" max="16"/>
    <col width="18" customWidth="1" min="17" max="17"/>
    <col width="36" customWidth="1" min="18" max="18"/>
    <col width="15" customWidth="1" min="19" max="19"/>
    <col width="18" customWidth="1" min="20" max="20"/>
    <col width="36" customWidth="1" min="21" max="21"/>
    <col width="12" customWidth="1" min="22" max="22"/>
    <col width="36" customWidth="1" min="23" max="23"/>
  </cols>
  <sheetData>
    <row r="1">
      <c r="A1" s="11" t="inlineStr">
        <is>
          <t>输入序号</t>
        </is>
      </c>
      <c r="B1" s="11" t="inlineStr">
        <is>
          <t>输入文件</t>
        </is>
      </c>
      <c r="C1" s="11" t="inlineStr">
        <is>
          <t>分析状态</t>
        </is>
      </c>
      <c r="D1" s="11" t="inlineStr">
        <is>
          <t>失败原因</t>
        </is>
      </c>
      <c r="E1" s="11" t="inlineStr">
        <is>
          <t>纳入汇总</t>
        </is>
      </c>
      <c r="F1" s="11" t="inlineStr">
        <is>
          <t>品牌</t>
        </is>
      </c>
      <c r="G1" s="11" t="inlineStr">
        <is>
          <t>提出质量问题/报修日期（原值）</t>
        </is>
      </c>
      <c r="H1" s="11" t="inlineStr">
        <is>
          <t>规范日期</t>
        </is>
      </c>
      <c r="I1" s="11" t="inlineStr">
        <is>
          <t>年份</t>
        </is>
      </c>
      <c r="J1" s="11" t="inlineStr">
        <is>
          <t>月份</t>
        </is>
      </c>
      <c r="K1" s="11" t="inlineStr">
        <is>
          <t>主要原因</t>
        </is>
      </c>
      <c r="L1" s="11" t="inlineStr">
        <is>
          <t>产生售后的具体原因</t>
        </is>
      </c>
      <c r="M1" s="11" t="inlineStr">
        <is>
          <t>企业售后成本</t>
        </is>
      </c>
      <c r="N1" s="11" t="inlineStr">
        <is>
          <t>企业成本状态</t>
        </is>
      </c>
      <c r="O1" s="11" t="inlineStr">
        <is>
          <t>企业成本依据</t>
        </is>
      </c>
      <c r="P1" s="11" t="inlineStr">
        <is>
          <t>内部责任扣款</t>
        </is>
      </c>
      <c r="Q1" s="11" t="inlineStr">
        <is>
          <t>内部扣款状态</t>
        </is>
      </c>
      <c r="R1" s="11" t="inlineStr">
        <is>
          <t>内部扣款依据</t>
        </is>
      </c>
      <c r="S1" s="11" t="inlineStr">
        <is>
          <t>外部承担金额</t>
        </is>
      </c>
      <c r="T1" s="11" t="inlineStr">
        <is>
          <t>外部承担状态</t>
        </is>
      </c>
      <c r="U1" s="11" t="inlineStr">
        <is>
          <t>外部承担依据</t>
        </is>
      </c>
      <c r="V1" s="11" t="inlineStr">
        <is>
          <t>处理状态</t>
        </is>
      </c>
      <c r="W1" s="11" t="inlineStr">
        <is>
          <t>状态依据</t>
        </is>
      </c>
    </row>
    <row r="2" ht="42" customHeight="1">
      <c r="A2" s="12" t="n">
        <v>1</v>
      </c>
      <c r="B2" s="12" t="inlineStr">
        <is>
          <t>pr16_acceptance_sample.xlsx</t>
        </is>
      </c>
      <c r="C2" s="12" t="inlineStr">
        <is>
          <t>离线规则分析完成</t>
        </is>
      </c>
      <c r="D2" s="12" t="inlineStr"/>
      <c r="E2" s="12" t="inlineStr">
        <is>
          <t>是</t>
        </is>
      </c>
      <c r="F2" s="12" t="inlineStr">
        <is>
          <t>桃花江</t>
        </is>
      </c>
      <c r="G2" s="12" t="inlineStr">
        <is>
          <t>2026-05-10</t>
        </is>
      </c>
      <c r="H2" s="12" t="inlineStr">
        <is>
          <t>2026-05-10</t>
        </is>
      </c>
      <c r="I2" s="12" t="n">
        <v>2026</v>
      </c>
      <c r="J2" s="12" t="n">
        <v>5</v>
      </c>
      <c r="K2" s="12" t="inlineStr">
        <is>
          <t>性能</t>
        </is>
      </c>
      <c r="L2" s="12" t="inlineStr">
        <is>
          <t>现场复核确认含水率变化导致收缩开裂，部分加工尺寸偏差</t>
        </is>
      </c>
      <c r="M2" s="13" t="n">
        <v>1000</v>
      </c>
      <c r="N2" s="12" t="inlineStr">
        <is>
          <t>exact</t>
        </is>
      </c>
      <c r="O2" s="12" t="inlineStr">
        <is>
          <t>售后解决方案·企业售后成本：识别到明确费用 1000 元</t>
        </is>
      </c>
      <c r="P2" s="13" t="n">
        <v>200</v>
      </c>
      <c r="Q2" s="12" t="inlineStr">
        <is>
          <t>exact</t>
        </is>
      </c>
      <c r="R2" s="12" t="inlineStr">
        <is>
          <t>售后解决方案·内部责任扣款：识别到明确费用 200 元</t>
        </is>
      </c>
      <c r="S2" s="13" t="n">
        <v>300</v>
      </c>
      <c r="T2" s="12" t="inlineStr">
        <is>
          <t>exact</t>
        </is>
      </c>
      <c r="U2" s="12" t="inlineStr">
        <is>
          <t>售后解决方案·外部承担金额：识别到明确费用 300 元</t>
        </is>
      </c>
      <c r="V2" s="12" t="inlineStr">
        <is>
          <t>已解决</t>
        </is>
      </c>
      <c r="W2" s="12" t="inlineStr">
        <is>
          <t>原文明确记录问题已经解决或处理完成</t>
        </is>
      </c>
    </row>
  </sheetData>
  <autoFilter ref="A1:W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42" customWidth="1" min="23" max="23"/>
    <col width="18" customWidth="1" min="24" max="24"/>
    <col width="4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</cols>
  <sheetData>
    <row r="1">
      <c r="A1" t="inlineStr">
        <is>
          <t>输入序号</t>
        </is>
      </c>
      <c r="B1" t="inlineStr">
        <is>
          <t>来源文件</t>
        </is>
      </c>
      <c r="C1" t="inlineStr">
        <is>
          <t>分析状态</t>
        </is>
      </c>
      <c r="D1" t="inlineStr">
        <is>
          <t>失败原因</t>
        </is>
      </c>
      <c r="E1" t="inlineStr">
        <is>
          <t>纳入业务汇总</t>
        </is>
      </c>
      <c r="F1" t="inlineStr">
        <is>
          <t>工作表</t>
        </is>
      </c>
      <c r="G1" t="inlineStr">
        <is>
          <t>客户/项目</t>
        </is>
      </c>
      <c r="H1" t="inlineStr">
        <is>
          <t>地点</t>
        </is>
      </c>
      <c r="I1" t="inlineStr">
        <is>
          <t>销售/代表</t>
        </is>
      </c>
      <c r="J1" t="inlineStr">
        <is>
          <t>品牌</t>
        </is>
      </c>
      <c r="K1" t="inlineStr">
        <is>
          <t>产品</t>
        </is>
      </c>
      <c r="L1" t="inlineStr">
        <is>
          <t>规格</t>
        </is>
      </c>
      <c r="M1" t="inlineStr">
        <is>
          <t>订单</t>
        </is>
      </c>
      <c r="N1" t="inlineStr">
        <is>
          <t>提出质量问题/报修日期（原值）</t>
        </is>
      </c>
      <c r="O1" t="inlineStr">
        <is>
          <t>规范日期</t>
        </is>
      </c>
      <c r="P1" t="inlineStr">
        <is>
          <t>年份</t>
        </is>
      </c>
      <c r="Q1" t="inlineStr">
        <is>
          <t>月份</t>
        </is>
      </c>
      <c r="R1" t="inlineStr">
        <is>
          <t>日期来源</t>
        </is>
      </c>
      <c r="S1" t="inlineStr">
        <is>
          <t>品牌判断依据</t>
        </is>
      </c>
      <c r="T1" t="inlineStr">
        <is>
          <t>问题类型</t>
        </is>
      </c>
      <c r="U1" t="inlineStr">
        <is>
          <t>主要类型</t>
        </is>
      </c>
      <c r="V1" t="inlineStr">
        <is>
          <t>分类来源</t>
        </is>
      </c>
      <c r="W1" t="inlineStr">
        <is>
          <t>分类置信度</t>
        </is>
      </c>
      <c r="X1" t="inlineStr">
        <is>
          <t>产生售后的具体原因</t>
        </is>
      </c>
      <c r="Y1" t="inlineStr">
        <is>
          <t>企业售后成本</t>
        </is>
      </c>
      <c r="Z1" t="inlineStr">
        <is>
          <t>企业成本状态</t>
        </is>
      </c>
      <c r="AA1" t="inlineStr">
        <is>
          <t>企业成本依据</t>
        </is>
      </c>
      <c r="AB1" t="inlineStr">
        <is>
          <t>企业成本已复核</t>
        </is>
      </c>
      <c r="AC1" t="inlineStr">
        <is>
          <t>内部责任扣款</t>
        </is>
      </c>
      <c r="AD1" t="inlineStr">
        <is>
          <t>内部扣款状态</t>
        </is>
      </c>
      <c r="AE1" t="inlineStr">
        <is>
          <t>内部扣款依据</t>
        </is>
      </c>
      <c r="AF1" t="inlineStr">
        <is>
          <t>内部扣款已复核</t>
        </is>
      </c>
      <c r="AG1" t="inlineStr">
        <is>
          <t>外部承担金额</t>
        </is>
      </c>
      <c r="AH1" t="inlineStr">
        <is>
          <t>外部承担状态</t>
        </is>
      </c>
      <c r="AI1" t="inlineStr">
        <is>
          <t>外部承担依据</t>
        </is>
      </c>
      <c r="AJ1" t="inlineStr">
        <is>
          <t>外部承担已复核</t>
        </is>
      </c>
      <c r="AK1" t="inlineStr">
        <is>
          <t>企业售后成本（兼容字段）</t>
        </is>
      </c>
      <c r="AL1" t="inlineStr">
        <is>
          <t>币种</t>
        </is>
      </c>
      <c r="AM1" t="inlineStr">
        <is>
          <t>费用状态</t>
        </is>
      </c>
      <c r="AN1" t="inlineStr">
        <is>
          <t>纳入费用统计</t>
        </is>
      </c>
      <c r="AO1" t="inlineStr">
        <is>
          <t>费用识别状态</t>
        </is>
      </c>
      <c r="AP1" t="inlineStr">
        <is>
          <t>费用明细</t>
        </is>
      </c>
      <c r="AQ1" t="inlineStr">
        <is>
          <t>费用来源</t>
        </is>
      </c>
      <c r="AR1" t="inlineStr">
        <is>
          <t>处理状态</t>
        </is>
      </c>
      <c r="AS1" t="inlineStr">
        <is>
          <t>案件状态</t>
        </is>
      </c>
      <c r="AT1" t="inlineStr">
        <is>
          <t>状态来源</t>
        </is>
      </c>
      <c r="AU1" t="inlineStr">
        <is>
          <t>状态依据</t>
        </is>
      </c>
      <c r="AV1" t="inlineStr">
        <is>
          <t>品牌置信度</t>
        </is>
      </c>
      <c r="AW1" t="inlineStr">
        <is>
          <t>警告</t>
        </is>
      </c>
      <c r="AX1" t="inlineStr">
        <is>
          <t>来源单元格</t>
        </is>
      </c>
      <c r="AY1" t="inlineStr">
        <is>
          <t>是否人工复核</t>
        </is>
      </c>
      <c r="AZ1" t="inlineStr">
        <is>
          <t>复核人</t>
        </is>
      </c>
      <c r="BA1" t="inlineStr">
        <is>
          <t>修改时间</t>
        </is>
      </c>
      <c r="BB1" t="inlineStr">
        <is>
          <t>品牌证据</t>
        </is>
      </c>
      <c r="BC1" t="inlineStr">
        <is>
          <t>问题证据</t>
        </is>
      </c>
      <c r="BD1" t="inlineStr">
        <is>
          <t>API分析原文</t>
        </is>
      </c>
      <c r="BE1" t="inlineStr">
        <is>
          <t>费用证据</t>
        </is>
      </c>
      <c r="BF1" t="inlineStr">
        <is>
          <t>客户反馈原文</t>
        </is>
      </c>
      <c r="BG1" t="inlineStr">
        <is>
          <t>售后调查原文</t>
        </is>
      </c>
      <c r="BH1" t="inlineStr">
        <is>
          <t>方案申请原文</t>
        </is>
      </c>
      <c r="BI1" t="inlineStr">
        <is>
          <t>售后解决方案</t>
        </is>
      </c>
      <c r="BJ1" t="inlineStr">
        <is>
          <t>责任落实原文</t>
        </is>
      </c>
    </row>
    <row r="2">
      <c r="A2" t="n">
        <v>1</v>
      </c>
      <c r="B2" t="inlineStr">
        <is>
          <t>pr16_acceptance_sample.xlsx</t>
        </is>
      </c>
      <c r="C2" t="inlineStr">
        <is>
          <t>离线规则分析完成</t>
        </is>
      </c>
      <c r="D2" t="inlineStr"/>
      <c r="E2" t="b">
        <v>1</v>
      </c>
      <c r="F2" t="inlineStr">
        <is>
          <t>售后单</t>
        </is>
      </c>
      <c r="G2" t="inlineStr">
        <is>
          <t>示例客户</t>
        </is>
      </c>
      <c r="H2" t="inlineStr">
        <is>
          <t>示例地点</t>
        </is>
      </c>
      <c r="I2" t="inlineStr">
        <is>
          <t>示例销售</t>
        </is>
      </c>
      <c r="J2" t="inlineStr">
        <is>
          <t>桃花江</t>
        </is>
      </c>
      <c r="K2" t="inlineStr">
        <is>
          <t>桃花江竹地板</t>
        </is>
      </c>
      <c r="L2" t="inlineStr">
        <is>
          <t>1860×139×18</t>
        </is>
      </c>
      <c r="M2" t="inlineStr">
        <is>
          <t>FZ-SAMPLE-20260501-001N</t>
        </is>
      </c>
      <c r="N2" t="inlineStr">
        <is>
          <t>2026-05-10</t>
        </is>
      </c>
      <c r="O2" t="inlineStr">
        <is>
          <t>2026-05-10</t>
        </is>
      </c>
      <c r="P2" t="n">
        <v>2026</v>
      </c>
      <c r="Q2" t="n">
        <v>5</v>
      </c>
      <c r="R2" t="inlineStr">
        <is>
          <t>rules</t>
        </is>
      </c>
      <c r="S2" t="inlineStr"/>
      <c r="T2" t="inlineStr">
        <is>
          <t>['性能', '加工']</t>
        </is>
      </c>
      <c r="U2" t="inlineStr">
        <is>
          <t>性能</t>
        </is>
      </c>
      <c r="V2" t="inlineStr">
        <is>
          <t>rules</t>
        </is>
      </c>
      <c r="W2" t="n">
        <v>0.85</v>
      </c>
      <c r="X2" t="inlineStr">
        <is>
          <t>现场复核确认含水率变化导致收缩开裂，部分加工尺寸偏差</t>
        </is>
      </c>
      <c r="Y2" t="n">
        <v>1000</v>
      </c>
      <c r="Z2" t="inlineStr">
        <is>
          <t>exact</t>
        </is>
      </c>
      <c r="AA2" t="inlineStr">
        <is>
          <t>售后解决方案·企业售后成本：识别到明确费用 1000 元</t>
        </is>
      </c>
      <c r="AB2" t="b">
        <v>0</v>
      </c>
      <c r="AC2" t="n">
        <v>200</v>
      </c>
      <c r="AD2" t="inlineStr">
        <is>
          <t>exact</t>
        </is>
      </c>
      <c r="AE2" t="inlineStr">
        <is>
          <t>售后解决方案·内部责任扣款：识别到明确费用 200 元</t>
        </is>
      </c>
      <c r="AF2" t="b">
        <v>0</v>
      </c>
      <c r="AG2" t="n">
        <v>300</v>
      </c>
      <c r="AH2" t="inlineStr">
        <is>
          <t>exact</t>
        </is>
      </c>
      <c r="AI2" t="inlineStr">
        <is>
          <t>售后解决方案·外部承担金额：识别到明确费用 300 元</t>
        </is>
      </c>
      <c r="AJ2" t="b">
        <v>0</v>
      </c>
      <c r="AK2" t="n">
        <v>1000</v>
      </c>
      <c r="AL2" t="inlineStr">
        <is>
          <t>CNY</t>
        </is>
      </c>
      <c r="AM2" t="inlineStr">
        <is>
          <t>exact</t>
        </is>
      </c>
      <c r="AN2" t="b">
        <v>1</v>
      </c>
      <c r="AO2" t="inlineStr">
        <is>
          <t>exact</t>
        </is>
      </c>
      <c r="AP2" t="inlineStr">
        <is>
          <t>[{'name': '售后费用', 'amount': 1000.0, 'evidence': '合计1000元'}]</t>
        </is>
      </c>
      <c r="AQ2" t="inlineStr">
        <is>
          <t>deterministic</t>
        </is>
      </c>
      <c r="AR2" t="inlineStr">
        <is>
          <t>已解决</t>
        </is>
      </c>
      <c r="AS2" t="inlineStr">
        <is>
          <t>已关闭</t>
        </is>
      </c>
      <c r="AT2" t="inlineStr">
        <is>
          <t>rules</t>
        </is>
      </c>
      <c r="AU2" t="inlineStr">
        <is>
          <t>原文明确记录问题已经解决或处理完成</t>
        </is>
      </c>
      <c r="AV2" t="n">
        <v>0.95</v>
      </c>
      <c r="AW2" t="inlineStr">
        <is>
          <t>[]</t>
        </is>
      </c>
      <c r="AX2" t="inlineStr">
        <is>
          <t>{'customer': 'B2', 'location': 'D2', 'salesperson': 'B3', 'complaint_date': 'D3', 'product': 'B4', 'spec': 'D4', 'order_no': 'B5:D5', 'feedback': 'B6:D6', 'investigation': 'B7:D7', 'application': 'B8:D8', 'solution': 'B9:D9', 'responsibility': 'B10:D10,B11:D11'}</t>
        </is>
      </c>
      <c r="AY2" t="b">
        <v>0</v>
      </c>
      <c r="BB2" t="inlineStr">
        <is>
          <t>桃花江</t>
        </is>
      </c>
      <c r="BC2" t="inlineStr">
        <is>
          <t>{'性能': ['开裂', '收缩'], '加工': ['尺寸', '规格', '加工']}</t>
        </is>
      </c>
      <c r="BE2" t="inlineStr">
        <is>
          <t>售后解决方案·企业售后成本：识别到明确费用 1000 元</t>
        </is>
      </c>
      <c r="BF2" t="inlineStr">
        <is>
          <t>安装后局部竹板开裂，并伴随尺寸偏差。</t>
        </is>
      </c>
      <c r="BG2" t="inlineStr">
        <is>
          <t>现场复核确认含水率变化导致收缩开裂，部分加工尺寸偏差。</t>
        </is>
      </c>
      <c r="BH2" t="inlineStr">
        <is>
          <t>批准补发并更换，执行后按实际承担费用结算。</t>
        </is>
      </c>
      <c r="BI2" t="inlineStr">
        <is>
          <t>已完成更换并结案。企业实际承担材料及运费，合计1000元；内部责任扣款200元；供应商承担300元。</t>
        </is>
      </c>
      <c r="BJ2" t="inlineStr">
        <is>
          <t>补发、更换和客户确认均已完成，案件正式结案。
本文件为人工构造的脱敏验收数据，不含真实客户信息。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12" customWidth="1" min="3" max="3"/>
    <col width="20" customWidth="1" min="4" max="4"/>
    <col width="12" customWidth="1" min="5" max="5"/>
    <col width="15" customWidth="1" min="6" max="6"/>
    <col width="18" customWidth="1" min="7" max="7"/>
    <col width="15" customWidth="1" min="8" max="8"/>
    <col width="18" customWidth="1" min="9" max="9"/>
    <col width="15" customWidth="1" min="10" max="10"/>
    <col width="18" customWidth="1" min="11" max="11"/>
    <col width="12" customWidth="1" min="12" max="12"/>
    <col width="42" customWidth="1" min="13" max="13"/>
    <col width="46" customWidth="1" min="14" max="14"/>
    <col width="44" customWidth="1" min="15" max="15"/>
    <col width="32" customWidth="1" min="16" max="16"/>
    <col width="30" customWidth="1" min="17" max="17"/>
    <col width="12" customWidth="1" min="18" max="18"/>
  </cols>
  <sheetData>
    <row r="1">
      <c r="A1" s="14" t="inlineStr">
        <is>
          <t>输入序号</t>
        </is>
      </c>
      <c r="B1" s="14" t="inlineStr">
        <is>
          <t>来源文件</t>
        </is>
      </c>
      <c r="C1" s="14" t="inlineStr">
        <is>
          <t>品牌</t>
        </is>
      </c>
      <c r="D1" s="14" t="inlineStr">
        <is>
          <t>提出质量问题/报修日期</t>
        </is>
      </c>
      <c r="E1" s="14" t="inlineStr">
        <is>
          <t>主原因</t>
        </is>
      </c>
      <c r="F1" s="14" t="inlineStr">
        <is>
          <t>企业售后成本</t>
        </is>
      </c>
      <c r="G1" s="14" t="inlineStr">
        <is>
          <t>企业成本状态</t>
        </is>
      </c>
      <c r="H1" s="14" t="inlineStr">
        <is>
          <t>内部责任扣款</t>
        </is>
      </c>
      <c r="I1" s="14" t="inlineStr">
        <is>
          <t>内部扣款状态</t>
        </is>
      </c>
      <c r="J1" s="14" t="inlineStr">
        <is>
          <t>外部承担金额</t>
        </is>
      </c>
      <c r="K1" s="14" t="inlineStr">
        <is>
          <t>外部承担状态</t>
        </is>
      </c>
      <c r="L1" s="14" t="inlineStr">
        <is>
          <t>案件状态</t>
        </is>
      </c>
      <c r="M1" s="14" t="inlineStr">
        <is>
          <t>警告</t>
        </is>
      </c>
      <c r="N1" s="14" t="inlineStr">
        <is>
          <t>原因与现象</t>
        </is>
      </c>
      <c r="O1" s="14" t="inlineStr">
        <is>
          <t>费用证据</t>
        </is>
      </c>
      <c r="P1" s="14" t="inlineStr">
        <is>
          <t>品牌证据</t>
        </is>
      </c>
      <c r="Q1" s="14" t="inlineStr">
        <is>
          <t>来源单元格</t>
        </is>
      </c>
      <c r="R1" s="14" t="inlineStr">
        <is>
          <t>是否已复核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2026-07-18T18:40:41Z</dcterms:created>
  <dcterms:modified xsi:type="dcterms:W3CDTF">2026-07-18T18:40:41Z</dcterms:modified>
</cp:coreProperties>
</file>